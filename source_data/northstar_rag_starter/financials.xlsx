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egment Performance" sheetId="5" state="visible" r:id="rId5"/>
    <sheet xmlns:r="http://schemas.openxmlformats.org/officeDocument/2006/relationships" name="KPI Summary" sheetId="6" state="visible" r:id="rId6"/>
    <sheet xmlns:r="http://schemas.openxmlformats.org/officeDocument/2006/relationships" name="Guidance Register" sheetId="7" state="visible" r:id="rId7"/>
    <sheet xmlns:r="http://schemas.openxmlformats.org/officeDocument/2006/relationships" name="Investor Question Bank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Assumptions" sheetId="10" state="visible" r:id="rId10"/>
  </sheets>
  <definedNames>
    <definedName name="_xlnm._FilterDatabase" localSheetId="0" hidden="1">'Read Me'!$A$1:$B$11</definedName>
    <definedName name="_xlnm._FilterDatabase" localSheetId="1" hidden="1">'P&amp;L'!$A$1:$S$7</definedName>
    <definedName name="_xlnm._FilterDatabase" localSheetId="2" hidden="1">'Cash Flow'!$A$1:$T$7</definedName>
    <definedName name="_xlnm._FilterDatabase" localSheetId="3" hidden="1">'Balance Sheet'!$A$1:$L$7</definedName>
    <definedName name="_xlnm._FilterDatabase" localSheetId="4" hidden="1">'Segment Performance'!$A$1:$G$19</definedName>
    <definedName name="_xlnm._FilterDatabase" localSheetId="5" hidden="1">'KPI Summary'!$A$1:$E$8</definedName>
    <definedName name="_xlnm._FilterDatabase" localSheetId="6" hidden="1">'Guidance Register'!$A$1:$J$6</definedName>
    <definedName name="_xlnm._FilterDatabase" localSheetId="7" hidden="1">'Investor Question Bank'!$A$1:$H$8</definedName>
    <definedName name="_xlnm._FilterDatabase" localSheetId="8" hidden="1">'Data Dictionary'!$A$1:$E$14</definedName>
    <definedName name="_xlnm._FilterDatabase" localSheetId="9" hidden="1">'Assumptions'!$A$1:$D$9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x"/>
    <numFmt numFmtId="167" formatCode="#,##0.00;[Red](#,##0.00);-"/>
    <numFmt numFmtId="168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5304B"/>
      </patternFill>
    </fill>
    <fill>
      <patternFill patternType="solid">
        <fgColor rgb="00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7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8" fontId="0" fillId="3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EBITDA margin trend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'P&amp;L'!$A$2:$A$7</f>
            </numRef>
          </cat>
          <val>
            <numRef>
              <f>'P&amp;L'!$C$2:$C$7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cash 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Flow'!$A$2:$A$7</f>
            </numRef>
          </cat>
          <val>
            <numRef>
              <f>'Cash Flow'!$F$2:$F$7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20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21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1" t="inlineStr">
        <is>
          <t>NORTHSTAR COMPONENTS LTD. — SYNTHETIC DATA PACK</t>
        </is>
      </c>
      <c r="B1" s="1" t="n"/>
    </row>
    <row r="2">
      <c r="A2" s="2" t="inlineStr">
        <is>
          <t>Purpose</t>
        </is>
      </c>
      <c r="B2" s="2" t="inlineStr">
        <is>
          <t>Demo dataset for Streamlit + n8n RAG investor Q&amp;A prototype.</t>
        </is>
      </c>
    </row>
    <row r="3">
      <c r="A3" s="3" t="inlineStr">
        <is>
          <t>Important</t>
        </is>
      </c>
      <c r="B3" s="3" t="inlineStr">
        <is>
          <t>Every company, financial value, transcript, quotation and management statement in this pack is fictional and created for demonstration.</t>
        </is>
      </c>
    </row>
    <row r="4">
      <c r="A4" s="2" t="inlineStr">
        <is>
          <t>Currency</t>
        </is>
      </c>
      <c r="B4" s="2" t="inlineStr">
        <is>
          <t>₹ crore unless a column says otherwise.</t>
        </is>
      </c>
    </row>
    <row r="5">
      <c r="A5" s="3" t="inlineStr">
        <is>
          <t>Periods</t>
        </is>
      </c>
      <c r="B5" s="3" t="inlineStr">
        <is>
          <t>Six quarters from Q1 FY25 to Q2 FY26. FY = financial year; quarters are synthetic.</t>
        </is>
      </c>
    </row>
    <row r="6">
      <c r="A6" s="2" t="inlineStr">
        <is>
          <t>Core scenario</t>
        </is>
      </c>
      <c r="B6" s="2" t="inlineStr">
        <is>
          <t>Q2 FY26 revenue ₹1,240 Cr; growth +12% YoY vs a synthetic Q2 FY25 comparison baseline of ₹1,107.1 Cr (used only for growth KPI). EBITDA margin 14.2%; prior-year comparison margin 17.0%; OCF ₹68 Cr; OCF down 43% YoY vs synthetic comparison OCF ₹119.3 Cr; net debt / annualised EBITDA 2.1x target scenario.</t>
        </is>
      </c>
    </row>
    <row r="7">
      <c r="A7" s="3" t="inlineStr">
        <is>
          <t>Model note</t>
        </is>
      </c>
      <c r="B7" s="3" t="inlineStr">
        <is>
          <t>Quarterly statement values are intentionally simplified. EBITDA margin and group/segment headline figures are designed to support the demo. Do not present as real company data.</t>
        </is>
      </c>
    </row>
    <row r="8">
      <c r="A8" s="2" t="inlineStr">
        <is>
          <t>Cash flow note</t>
        </is>
      </c>
      <c r="B8" s="2" t="inlineStr">
        <is>
          <t>Net change in cash = operating CF - capex - acquisitions + debt issued - debt repaid - dividends. Closing cash balances are modeled separately for demonstration and may not roll perfectly due to omitted FX/other items.</t>
        </is>
      </c>
    </row>
    <row r="9">
      <c r="A9" s="3" t="inlineStr">
        <is>
          <t>Debt ratio note</t>
        </is>
      </c>
      <c r="B9" s="3" t="inlineStr">
        <is>
          <t>Net debt / EBITDA uses annualised quarterly EBITDA (quarter EBITDA × 4). The ratio is a simplified run-rate metric, not a covenant calculation.</t>
        </is>
      </c>
    </row>
    <row r="10">
      <c r="A10" s="2" t="inlineStr">
        <is>
          <t>Sheet guide</t>
        </is>
      </c>
      <c r="B10" s="2" t="inlineStr">
        <is>
          <t>P&amp;L = quarterly income statement; Cash Flow = cash flow statement and drivers; Balance Sheet = selected balances; Segment Performance = segment revenue/margin; KPI Summary = headline metrics; Guidance Register = prior statements vs actual; Investor Question Bank = questions/evidence rubric; Data Dictionary = field definitions.</t>
        </is>
      </c>
    </row>
    <row r="11">
      <c r="A11" s="3" t="inlineStr">
        <is>
          <t>RAG guidance</t>
        </is>
      </c>
      <c r="B11" s="3" t="inlineStr">
        <is>
          <t>Ingest .txt/.md files from transcripts/, commentary/, guidance/, knowledge/. Keep metadata_manifest.csv and chunks_seed.jsonl for citation metadata. Keep each speaker Q&amp;A exchange in one chunk where possible.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20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6" customWidth="1" min="19" max="19"/>
  </cols>
  <sheetData>
    <row r="1" ht="30" customHeight="1">
      <c r="A1" s="1" t="inlineStr">
        <is>
          <t>Quarter</t>
        </is>
      </c>
      <c r="B1" s="1" t="inlineStr">
        <is>
          <t>Period End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 Profit</t>
        </is>
      </c>
      <c r="F1" s="1" t="inlineStr">
        <is>
          <t>Gross Margin</t>
        </is>
      </c>
      <c r="G1" s="1" t="inlineStr">
        <is>
          <t>SG&amp;A</t>
        </is>
      </c>
      <c r="H1" s="1" t="inlineStr">
        <is>
          <t>R&amp;D</t>
        </is>
      </c>
      <c r="I1" s="1" t="inlineStr">
        <is>
          <t>Other OpEx</t>
        </is>
      </c>
      <c r="J1" s="1" t="inlineStr">
        <is>
          <t>EBITDA</t>
        </is>
      </c>
      <c r="K1" s="1" t="inlineStr">
        <is>
          <t>EBITDA Margin</t>
        </is>
      </c>
      <c r="L1" s="1" t="inlineStr">
        <is>
          <t>D&amp;A</t>
        </is>
      </c>
      <c r="M1" s="1" t="inlineStr">
        <is>
          <t>EBIT</t>
        </is>
      </c>
      <c r="N1" s="1" t="inlineStr">
        <is>
          <t>Interest</t>
        </is>
      </c>
      <c r="O1" s="1" t="inlineStr">
        <is>
          <t>PBT</t>
        </is>
      </c>
      <c r="P1" s="1" t="inlineStr">
        <is>
          <t>Tax</t>
        </is>
      </c>
      <c r="Q1" s="1" t="inlineStr">
        <is>
          <t>PAT</t>
        </is>
      </c>
      <c r="R1" s="1" t="inlineStr">
        <is>
          <t>Revenue YoY %</t>
        </is>
      </c>
      <c r="S1" s="1" t="inlineStr">
        <is>
          <t>EBITDA Margin YoY Δ (pp)</t>
        </is>
      </c>
    </row>
    <row r="2">
      <c r="A2" s="2" t="inlineStr">
        <is>
          <t>Q1 FY25</t>
        </is>
      </c>
      <c r="B2" s="2" t="inlineStr">
        <is>
          <t>2024-06-30</t>
        </is>
      </c>
      <c r="C2" s="4" t="n">
        <v>900</v>
      </c>
      <c r="D2" s="4" t="n">
        <v>603</v>
      </c>
      <c r="E2" s="4">
        <f>C2-D2</f>
        <v/>
      </c>
      <c r="F2" s="5">
        <f>E2/C2</f>
        <v/>
      </c>
      <c r="G2" s="4" t="n">
        <v>112</v>
      </c>
      <c r="H2" s="4" t="n">
        <v>22</v>
      </c>
      <c r="I2" s="4" t="n">
        <v>8</v>
      </c>
      <c r="J2" s="4">
        <f>E2-G2-H2-I2</f>
        <v/>
      </c>
      <c r="K2" s="5">
        <f>J2/C2</f>
        <v/>
      </c>
      <c r="L2" s="4" t="n">
        <v>28</v>
      </c>
      <c r="M2" s="4">
        <f>J2-L2</f>
        <v/>
      </c>
      <c r="N2" s="4" t="n">
        <v>12</v>
      </c>
      <c r="O2" s="4">
        <f>M2-N2</f>
        <v/>
      </c>
      <c r="P2" s="4" t="n">
        <v>29</v>
      </c>
      <c r="Q2" s="4">
        <f>O2-P2</f>
        <v/>
      </c>
      <c r="R2" s="5" t="n"/>
      <c r="S2" s="5" t="n"/>
    </row>
    <row r="3">
      <c r="A3" s="3" t="inlineStr">
        <is>
          <t>Q2 FY25</t>
        </is>
      </c>
      <c r="B3" s="3" t="inlineStr">
        <is>
          <t>2024-09-30</t>
        </is>
      </c>
      <c r="C3" s="6" t="n">
        <v>940</v>
      </c>
      <c r="D3" s="6" t="n">
        <v>630</v>
      </c>
      <c r="E3" s="6">
        <f>C3-D3</f>
        <v/>
      </c>
      <c r="F3" s="7">
        <f>E3/C3</f>
        <v/>
      </c>
      <c r="G3" s="6" t="n">
        <v>116</v>
      </c>
      <c r="H3" s="6" t="n">
        <v>23</v>
      </c>
      <c r="I3" s="6" t="n">
        <v>11.19999999999999</v>
      </c>
      <c r="J3" s="6">
        <f>E3-G3-H3-I3</f>
        <v/>
      </c>
      <c r="K3" s="7">
        <f>J3/C3</f>
        <v/>
      </c>
      <c r="L3" s="6" t="n">
        <v>29</v>
      </c>
      <c r="M3" s="6">
        <f>J3-L3</f>
        <v/>
      </c>
      <c r="N3" s="6" t="n">
        <v>13</v>
      </c>
      <c r="O3" s="6">
        <f>M3-N3</f>
        <v/>
      </c>
      <c r="P3" s="6" t="n">
        <v>31</v>
      </c>
      <c r="Q3" s="6">
        <f>O3-P3</f>
        <v/>
      </c>
      <c r="R3" s="7" t="n">
        <v>0.04444444444444451</v>
      </c>
      <c r="S3" s="7" t="n">
        <v>0.01000000000000001</v>
      </c>
    </row>
    <row r="4">
      <c r="A4" s="2" t="inlineStr">
        <is>
          <t>Q3 FY25</t>
        </is>
      </c>
      <c r="B4" s="2" t="inlineStr">
        <is>
          <t>2024-12-31</t>
        </is>
      </c>
      <c r="C4" s="4" t="n">
        <v>970</v>
      </c>
      <c r="D4" s="4" t="n">
        <v>650</v>
      </c>
      <c r="E4" s="4">
        <f>C4-D4</f>
        <v/>
      </c>
      <c r="F4" s="5">
        <f>E4/C4</f>
        <v/>
      </c>
      <c r="G4" s="4" t="n">
        <v>120</v>
      </c>
      <c r="H4" s="4" t="n">
        <v>24</v>
      </c>
      <c r="I4" s="4" t="n">
        <v>10</v>
      </c>
      <c r="J4" s="4">
        <f>E4-G4-H4-I4</f>
        <v/>
      </c>
      <c r="K4" s="5">
        <f>J4/C4</f>
        <v/>
      </c>
      <c r="L4" s="4" t="n">
        <v>30</v>
      </c>
      <c r="M4" s="4">
        <f>J4-L4</f>
        <v/>
      </c>
      <c r="N4" s="4" t="n">
        <v>13</v>
      </c>
      <c r="O4" s="4">
        <f>M4-N4</f>
        <v/>
      </c>
      <c r="P4" s="4" t="n">
        <v>32</v>
      </c>
      <c r="Q4" s="4">
        <f>O4-P4</f>
        <v/>
      </c>
      <c r="R4" s="5" t="n"/>
      <c r="S4" s="5" t="n"/>
    </row>
    <row r="5">
      <c r="A5" s="3" t="inlineStr">
        <is>
          <t>Q4 FY25</t>
        </is>
      </c>
      <c r="B5" s="3" t="inlineStr">
        <is>
          <t>2025-03-31</t>
        </is>
      </c>
      <c r="C5" s="6" t="n">
        <v>1000</v>
      </c>
      <c r="D5" s="6" t="n">
        <v>670</v>
      </c>
      <c r="E5" s="6">
        <f>C5-D5</f>
        <v/>
      </c>
      <c r="F5" s="7">
        <f>E5/C5</f>
        <v/>
      </c>
      <c r="G5" s="6" t="n">
        <v>124</v>
      </c>
      <c r="H5" s="6" t="n">
        <v>24</v>
      </c>
      <c r="I5" s="6" t="n">
        <v>10</v>
      </c>
      <c r="J5" s="6">
        <f>E5-G5-H5-I5</f>
        <v/>
      </c>
      <c r="K5" s="7">
        <f>J5/C5</f>
        <v/>
      </c>
      <c r="L5" s="6" t="n">
        <v>31</v>
      </c>
      <c r="M5" s="6">
        <f>J5-L5</f>
        <v/>
      </c>
      <c r="N5" s="6" t="n">
        <v>13</v>
      </c>
      <c r="O5" s="6">
        <f>M5-N5</f>
        <v/>
      </c>
      <c r="P5" s="6" t="n">
        <v>34</v>
      </c>
      <c r="Q5" s="6">
        <f>O5-P5</f>
        <v/>
      </c>
      <c r="R5" s="7" t="n"/>
      <c r="S5" s="7" t="n"/>
    </row>
    <row r="6">
      <c r="A6" s="2" t="inlineStr">
        <is>
          <t>Q1 FY26</t>
        </is>
      </c>
      <c r="B6" s="2" t="inlineStr">
        <is>
          <t>2025-06-30</t>
        </is>
      </c>
      <c r="C6" s="4" t="n">
        <v>1080</v>
      </c>
      <c r="D6" s="4" t="n">
        <v>735</v>
      </c>
      <c r="E6" s="4">
        <f>C6-D6</f>
        <v/>
      </c>
      <c r="F6" s="5">
        <f>E6/C6</f>
        <v/>
      </c>
      <c r="G6" s="4" t="n">
        <v>130</v>
      </c>
      <c r="H6" s="4" t="n">
        <v>25</v>
      </c>
      <c r="I6" s="4" t="n">
        <v>12</v>
      </c>
      <c r="J6" s="4">
        <f>E6-G6-H6-I6</f>
        <v/>
      </c>
      <c r="K6" s="5">
        <f>J6/C6</f>
        <v/>
      </c>
      <c r="L6" s="4" t="n">
        <v>33</v>
      </c>
      <c r="M6" s="4">
        <f>J6-L6</f>
        <v/>
      </c>
      <c r="N6" s="4" t="n">
        <v>14</v>
      </c>
      <c r="O6" s="4">
        <f>M6-N6</f>
        <v/>
      </c>
      <c r="P6" s="4" t="n">
        <v>36</v>
      </c>
      <c r="Q6" s="4">
        <f>O6-P6</f>
        <v/>
      </c>
      <c r="R6" s="5" t="n"/>
      <c r="S6" s="5" t="n"/>
    </row>
    <row r="7">
      <c r="A7" s="3" t="inlineStr">
        <is>
          <t>Q2 FY26</t>
        </is>
      </c>
      <c r="B7" s="3" t="inlineStr">
        <is>
          <t>2025-09-30</t>
        </is>
      </c>
      <c r="C7" s="6" t="n">
        <v>1240</v>
      </c>
      <c r="D7" s="6" t="n">
        <v>862</v>
      </c>
      <c r="E7" s="6">
        <f>C7-D7</f>
        <v/>
      </c>
      <c r="F7" s="7">
        <f>E7/C7</f>
        <v/>
      </c>
      <c r="G7" s="6" t="n">
        <v>154</v>
      </c>
      <c r="H7" s="6" t="n">
        <v>28</v>
      </c>
      <c r="I7" s="6" t="n">
        <v>19.92</v>
      </c>
      <c r="J7" s="6">
        <f>E7-G7-H7-I7</f>
        <v/>
      </c>
      <c r="K7" s="7">
        <f>J7/C7</f>
        <v/>
      </c>
      <c r="L7" s="6" t="n">
        <v>40</v>
      </c>
      <c r="M7" s="6">
        <f>J7-L7</f>
        <v/>
      </c>
      <c r="N7" s="6" t="n">
        <v>16</v>
      </c>
      <c r="O7" s="6">
        <f>M7-N7</f>
        <v/>
      </c>
      <c r="P7" s="6" t="n">
        <v>38</v>
      </c>
      <c r="Q7" s="6">
        <f>O7-P7</f>
        <v/>
      </c>
      <c r="R7" s="7" t="n">
        <v>0.1200028903300394</v>
      </c>
      <c r="S7" s="7" t="n">
        <v>-0.02800000000000002</v>
      </c>
    </row>
  </sheetData>
  <autoFilter ref="A1:S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45" customWidth="1" min="5" max="5"/>
    <col width="21" customWidth="1" min="6" max="6"/>
    <col width="12" customWidth="1" min="7" max="7"/>
    <col width="14" customWidth="1" min="8" max="8"/>
    <col width="21" customWidth="1" min="9" max="9"/>
    <col width="13" customWidth="1" min="10" max="10"/>
    <col width="13" customWidth="1" min="11" max="11"/>
    <col width="12" customWidth="1" min="12" max="12"/>
    <col width="21" customWidth="1" min="13" max="13"/>
    <col width="20" customWidth="1" min="14" max="14"/>
    <col width="13" customWidth="1" min="15" max="15"/>
    <col width="12" customWidth="1" min="16" max="16"/>
    <col width="12" customWidth="1" min="17" max="17"/>
    <col width="27" customWidth="1" min="18" max="18"/>
    <col width="25" customWidth="1" min="19" max="19"/>
    <col width="24" customWidth="1" min="20" max="20"/>
  </cols>
  <sheetData>
    <row r="1" ht="30" customHeight="1">
      <c r="A1" s="1" t="inlineStr">
        <is>
          <t>Quarter</t>
        </is>
      </c>
      <c r="B1" s="1" t="inlineStr">
        <is>
          <t>Period End</t>
        </is>
      </c>
      <c r="C1" s="1" t="inlineStr">
        <is>
          <t>Net Profit (PAT)</t>
        </is>
      </c>
      <c r="D1" s="1" t="inlineStr">
        <is>
          <t>Non-cash D&amp;A</t>
        </is>
      </c>
      <c r="E1" s="1" t="inlineStr">
        <is>
          <t>Working Capital / Other Operating Adjustments</t>
        </is>
      </c>
      <c r="F1" s="1" t="inlineStr">
        <is>
          <t>Operating Cash Flow</t>
        </is>
      </c>
      <c r="G1" s="1" t="inlineStr">
        <is>
          <t>CapEx</t>
        </is>
      </c>
      <c r="H1" s="1" t="inlineStr">
        <is>
          <t>Acquisitions</t>
        </is>
      </c>
      <c r="I1" s="1" t="inlineStr">
        <is>
          <t>Investing Cash Flow</t>
        </is>
      </c>
      <c r="J1" s="1" t="inlineStr">
        <is>
          <t>Debt Issued</t>
        </is>
      </c>
      <c r="K1" s="1" t="inlineStr">
        <is>
          <t>Debt Repaid</t>
        </is>
      </c>
      <c r="L1" s="1" t="inlineStr">
        <is>
          <t>Dividends</t>
        </is>
      </c>
      <c r="M1" s="1" t="inlineStr">
        <is>
          <t>Financing Cash Flow</t>
        </is>
      </c>
      <c r="N1" s="1" t="inlineStr">
        <is>
          <t>Net Change in Cash</t>
        </is>
      </c>
      <c r="O1" s="1" t="inlineStr">
        <is>
          <t>Receivables</t>
        </is>
      </c>
      <c r="P1" s="1" t="inlineStr">
        <is>
          <t>Inventory</t>
        </is>
      </c>
      <c r="Q1" s="1" t="inlineStr">
        <is>
          <t>Payables</t>
        </is>
      </c>
      <c r="R1" s="1" t="inlineStr">
        <is>
          <t>Receivables Days (approx)</t>
        </is>
      </c>
      <c r="S1" s="1" t="inlineStr">
        <is>
          <t>Inventory Days (approx)</t>
        </is>
      </c>
      <c r="T1" s="1" t="inlineStr">
        <is>
          <t>Payables Days (approx)</t>
        </is>
      </c>
    </row>
    <row r="2">
      <c r="A2" s="2" t="inlineStr">
        <is>
          <t>Q1 FY25</t>
        </is>
      </c>
      <c r="B2" s="2" t="inlineStr">
        <is>
          <t>2024-06-30</t>
        </is>
      </c>
      <c r="C2" s="4">
        <f>'P&amp;L'!Q2</f>
        <v/>
      </c>
      <c r="D2" s="4" t="n">
        <v>28</v>
      </c>
      <c r="E2" s="4" t="n">
        <v>-26</v>
      </c>
      <c r="F2" s="4" t="n">
        <v>88</v>
      </c>
      <c r="G2" s="4" t="n">
        <v>48</v>
      </c>
      <c r="H2" s="4" t="n">
        <v>0</v>
      </c>
      <c r="I2" s="4">
        <f>-G2-H2</f>
        <v/>
      </c>
      <c r="J2" s="4" t="n">
        <v>15</v>
      </c>
      <c r="K2" s="4" t="n">
        <v>20</v>
      </c>
      <c r="L2" s="4" t="n">
        <v>5</v>
      </c>
      <c r="M2" s="4">
        <f>J2-K2-L2</f>
        <v/>
      </c>
      <c r="N2" s="4">
        <f>F2+I2+M2</f>
        <v/>
      </c>
      <c r="O2" s="4" t="n">
        <v>205</v>
      </c>
      <c r="P2" s="4" t="n">
        <v>240</v>
      </c>
      <c r="Q2" s="4" t="n">
        <v>180</v>
      </c>
      <c r="R2" s="8" t="n">
        <v>20.5</v>
      </c>
      <c r="S2" s="8" t="n">
        <v>35.8</v>
      </c>
      <c r="T2" s="8" t="n">
        <v>26.9</v>
      </c>
    </row>
    <row r="3">
      <c r="A3" s="3" t="inlineStr">
        <is>
          <t>Q2 FY25</t>
        </is>
      </c>
      <c r="B3" s="3" t="inlineStr">
        <is>
          <t>2024-09-30</t>
        </is>
      </c>
      <c r="C3" s="6">
        <f>'P&amp;L'!Q3</f>
        <v/>
      </c>
      <c r="D3" s="6" t="n">
        <v>29</v>
      </c>
      <c r="E3" s="6" t="n">
        <v>-23.80000000000001</v>
      </c>
      <c r="F3" s="6" t="n">
        <v>92</v>
      </c>
      <c r="G3" s="6" t="n">
        <v>55</v>
      </c>
      <c r="H3" s="6" t="n">
        <v>0</v>
      </c>
      <c r="I3" s="6">
        <f>-G3-H3</f>
        <v/>
      </c>
      <c r="J3" s="6" t="n">
        <v>0</v>
      </c>
      <c r="K3" s="6" t="n">
        <v>20</v>
      </c>
      <c r="L3" s="6" t="n">
        <v>5</v>
      </c>
      <c r="M3" s="6">
        <f>J3-K3-L3</f>
        <v/>
      </c>
      <c r="N3" s="6">
        <f>F3+I3+M3</f>
        <v/>
      </c>
      <c r="O3" s="6" t="n">
        <v>220</v>
      </c>
      <c r="P3" s="6" t="n">
        <v>255</v>
      </c>
      <c r="Q3" s="6" t="n">
        <v>188</v>
      </c>
      <c r="R3" s="9" t="n">
        <v>21.1</v>
      </c>
      <c r="S3" s="9" t="n">
        <v>36.4</v>
      </c>
      <c r="T3" s="9" t="n">
        <v>26.9</v>
      </c>
    </row>
    <row r="4">
      <c r="A4" s="2" t="inlineStr">
        <is>
          <t>Q3 FY25</t>
        </is>
      </c>
      <c r="B4" s="2" t="inlineStr">
        <is>
          <t>2024-12-31</t>
        </is>
      </c>
      <c r="C4" s="4">
        <f>'P&amp;L'!Q4</f>
        <v/>
      </c>
      <c r="D4" s="4" t="n">
        <v>30</v>
      </c>
      <c r="E4" s="4" t="n">
        <v>-25</v>
      </c>
      <c r="F4" s="4" t="n">
        <v>96</v>
      </c>
      <c r="G4" s="4" t="n">
        <v>60</v>
      </c>
      <c r="H4" s="4" t="n">
        <v>5</v>
      </c>
      <c r="I4" s="4">
        <f>-G4-H4</f>
        <v/>
      </c>
      <c r="J4" s="4" t="n">
        <v>0</v>
      </c>
      <c r="K4" s="4" t="n">
        <v>15</v>
      </c>
      <c r="L4" s="4" t="n">
        <v>5</v>
      </c>
      <c r="M4" s="4">
        <f>J4-K4-L4</f>
        <v/>
      </c>
      <c r="N4" s="4">
        <f>F4+I4+M4</f>
        <v/>
      </c>
      <c r="O4" s="4" t="n">
        <v>232</v>
      </c>
      <c r="P4" s="4" t="n">
        <v>270</v>
      </c>
      <c r="Q4" s="4" t="n">
        <v>195</v>
      </c>
      <c r="R4" s="8" t="n">
        <v>21.5</v>
      </c>
      <c r="S4" s="8" t="n">
        <v>37.4</v>
      </c>
      <c r="T4" s="8" t="n">
        <v>27</v>
      </c>
    </row>
    <row r="5">
      <c r="A5" s="3" t="inlineStr">
        <is>
          <t>Q4 FY25</t>
        </is>
      </c>
      <c r="B5" s="3" t="inlineStr">
        <is>
          <t>2025-03-31</t>
        </is>
      </c>
      <c r="C5" s="6">
        <f>'P&amp;L'!Q5</f>
        <v/>
      </c>
      <c r="D5" s="6" t="n">
        <v>31</v>
      </c>
      <c r="E5" s="6" t="n">
        <v>-20</v>
      </c>
      <c r="F5" s="6" t="n">
        <v>105</v>
      </c>
      <c r="G5" s="6" t="n">
        <v>65</v>
      </c>
      <c r="H5" s="6" t="n">
        <v>0</v>
      </c>
      <c r="I5" s="6">
        <f>-G5-H5</f>
        <v/>
      </c>
      <c r="J5" s="6" t="n">
        <v>0</v>
      </c>
      <c r="K5" s="6" t="n">
        <v>20</v>
      </c>
      <c r="L5" s="6" t="n">
        <v>6</v>
      </c>
      <c r="M5" s="6">
        <f>J5-K5-L5</f>
        <v/>
      </c>
      <c r="N5" s="6">
        <f>F5+I5+M5</f>
        <v/>
      </c>
      <c r="O5" s="6" t="n">
        <v>245</v>
      </c>
      <c r="P5" s="6" t="n">
        <v>282</v>
      </c>
      <c r="Q5" s="6" t="n">
        <v>205</v>
      </c>
      <c r="R5" s="9" t="n">
        <v>22.1</v>
      </c>
      <c r="S5" s="9" t="n">
        <v>37.9</v>
      </c>
      <c r="T5" s="9" t="n">
        <v>27.5</v>
      </c>
    </row>
    <row r="6">
      <c r="A6" s="2" t="inlineStr">
        <is>
          <t>Q1 FY26</t>
        </is>
      </c>
      <c r="B6" s="2" t="inlineStr">
        <is>
          <t>2025-06-30</t>
        </is>
      </c>
      <c r="C6" s="4">
        <f>'P&amp;L'!Q6</f>
        <v/>
      </c>
      <c r="D6" s="4" t="n">
        <v>33</v>
      </c>
      <c r="E6" s="4" t="n">
        <v>-46</v>
      </c>
      <c r="F6" s="4" t="n">
        <v>82</v>
      </c>
      <c r="G6" s="4" t="n">
        <v>72</v>
      </c>
      <c r="H6" s="4" t="n">
        <v>0</v>
      </c>
      <c r="I6" s="4">
        <f>-G6-H6</f>
        <v/>
      </c>
      <c r="J6" s="4" t="n">
        <v>20</v>
      </c>
      <c r="K6" s="4" t="n">
        <v>10</v>
      </c>
      <c r="L6" s="4" t="n">
        <v>6</v>
      </c>
      <c r="M6" s="4">
        <f>J6-K6-L6</f>
        <v/>
      </c>
      <c r="N6" s="4">
        <f>F6+I6+M6</f>
        <v/>
      </c>
      <c r="O6" s="4" t="n">
        <v>275</v>
      </c>
      <c r="P6" s="4" t="n">
        <v>310</v>
      </c>
      <c r="Q6" s="4" t="n">
        <v>212</v>
      </c>
      <c r="R6" s="8" t="n">
        <v>22.9</v>
      </c>
      <c r="S6" s="8" t="n">
        <v>38</v>
      </c>
      <c r="T6" s="8" t="n">
        <v>26</v>
      </c>
    </row>
    <row r="7">
      <c r="A7" s="3" t="inlineStr">
        <is>
          <t>Q2 FY26</t>
        </is>
      </c>
      <c r="B7" s="3" t="inlineStr">
        <is>
          <t>2025-09-30</t>
        </is>
      </c>
      <c r="C7" s="6">
        <f>'P&amp;L'!Q7</f>
        <v/>
      </c>
      <c r="D7" s="6" t="n">
        <v>40</v>
      </c>
      <c r="E7" s="6" t="n">
        <v>-54.07999999999998</v>
      </c>
      <c r="F7" s="6" t="n">
        <v>68</v>
      </c>
      <c r="G7" s="6" t="n">
        <v>90</v>
      </c>
      <c r="H7" s="6" t="n">
        <v>10</v>
      </c>
      <c r="I7" s="6">
        <f>-G7-H7</f>
        <v/>
      </c>
      <c r="J7" s="6" t="n">
        <v>40</v>
      </c>
      <c r="K7" s="6" t="n">
        <v>10</v>
      </c>
      <c r="L7" s="6" t="n">
        <v>8</v>
      </c>
      <c r="M7" s="6">
        <f>J7-K7-L7</f>
        <v/>
      </c>
      <c r="N7" s="6">
        <f>F7+I7+M7</f>
        <v/>
      </c>
      <c r="O7" s="6" t="n">
        <v>340</v>
      </c>
      <c r="P7" s="6" t="n">
        <v>365</v>
      </c>
      <c r="Q7" s="6" t="n">
        <v>224</v>
      </c>
      <c r="R7" s="9" t="n">
        <v>24.7</v>
      </c>
      <c r="S7" s="9" t="n">
        <v>38.1</v>
      </c>
      <c r="T7" s="9" t="n">
        <v>23.4</v>
      </c>
    </row>
  </sheetData>
  <autoFilter ref="A1:T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  <col width="13" customWidth="1" min="7" max="7"/>
    <col width="12" customWidth="1" min="8" max="8"/>
    <col width="12" customWidth="1" min="9" max="9"/>
    <col width="29" customWidth="1" min="10" max="10"/>
    <col width="34" customWidth="1" min="11" max="11"/>
    <col width="23" customWidth="1" min="12" max="12"/>
  </cols>
  <sheetData>
    <row r="1" ht="30" customHeight="1">
      <c r="A1" s="1" t="inlineStr">
        <is>
          <t>Quarter</t>
        </is>
      </c>
      <c r="B1" s="1" t="inlineStr">
        <is>
          <t>Period End</t>
        </is>
      </c>
      <c r="C1" s="1" t="inlineStr">
        <is>
          <t>Cash</t>
        </is>
      </c>
      <c r="D1" s="1" t="inlineStr">
        <is>
          <t>Gross Debt</t>
        </is>
      </c>
      <c r="E1" s="1" t="inlineStr">
        <is>
          <t>Net Debt</t>
        </is>
      </c>
      <c r="F1" s="1" t="inlineStr">
        <is>
          <t>Net Debt / Annualised EBITDA</t>
        </is>
      </c>
      <c r="G1" s="1" t="inlineStr">
        <is>
          <t>Receivables</t>
        </is>
      </c>
      <c r="H1" s="1" t="inlineStr">
        <is>
          <t>Inventory</t>
        </is>
      </c>
      <c r="I1" s="1" t="inlineStr">
        <is>
          <t>Payables</t>
        </is>
      </c>
      <c r="J1" s="1" t="inlineStr">
        <is>
          <t>Total Assets (illustrative)</t>
        </is>
      </c>
      <c r="K1" s="1" t="inlineStr">
        <is>
          <t>Total Liabilities (illustrative)</t>
        </is>
      </c>
      <c r="L1" s="1" t="inlineStr">
        <is>
          <t>Equity (illustrative)</t>
        </is>
      </c>
    </row>
    <row r="2">
      <c r="A2" s="2" t="inlineStr">
        <is>
          <t>Q1 FY25</t>
        </is>
      </c>
      <c r="B2" s="2" t="inlineStr">
        <is>
          <t>2024-06-30</t>
        </is>
      </c>
      <c r="C2" s="4" t="n">
        <v>180</v>
      </c>
      <c r="D2" s="4" t="n">
        <v>520</v>
      </c>
      <c r="E2" s="4">
        <f>D2-C2</f>
        <v/>
      </c>
      <c r="F2" s="4">
        <f>E2/('P&amp;L'!J2*4)</f>
        <v/>
      </c>
      <c r="G2" s="4" t="n">
        <v>205</v>
      </c>
      <c r="H2" s="4" t="n">
        <v>240</v>
      </c>
      <c r="I2" s="4" t="n">
        <v>180</v>
      </c>
      <c r="J2" s="4" t="n">
        <v>1580</v>
      </c>
      <c r="K2" s="4" t="n">
        <v>900</v>
      </c>
      <c r="L2" s="4" t="n">
        <v>680</v>
      </c>
    </row>
    <row r="3">
      <c r="A3" s="3" t="inlineStr">
        <is>
          <t>Q2 FY25</t>
        </is>
      </c>
      <c r="B3" s="3" t="inlineStr">
        <is>
          <t>2024-09-30</t>
        </is>
      </c>
      <c r="C3" s="6" t="n">
        <v>177</v>
      </c>
      <c r="D3" s="6" t="n">
        <v>500</v>
      </c>
      <c r="E3" s="6">
        <f>D3-C3</f>
        <v/>
      </c>
      <c r="F3" s="6">
        <f>E3/('P&amp;L'!J3*4)</f>
        <v/>
      </c>
      <c r="G3" s="6" t="n">
        <v>220</v>
      </c>
      <c r="H3" s="6" t="n">
        <v>255</v>
      </c>
      <c r="I3" s="6" t="n">
        <v>188</v>
      </c>
      <c r="J3" s="6" t="n">
        <v>1605</v>
      </c>
      <c r="K3" s="6" t="n">
        <v>894</v>
      </c>
      <c r="L3" s="6" t="n">
        <v>711</v>
      </c>
    </row>
    <row r="4">
      <c r="A4" s="2" t="inlineStr">
        <is>
          <t>Q3 FY25</t>
        </is>
      </c>
      <c r="B4" s="2" t="inlineStr">
        <is>
          <t>2024-12-31</t>
        </is>
      </c>
      <c r="C4" s="4" t="n">
        <v>161</v>
      </c>
      <c r="D4" s="4" t="n">
        <v>485</v>
      </c>
      <c r="E4" s="4">
        <f>D4-C4</f>
        <v/>
      </c>
      <c r="F4" s="4">
        <f>E4/('P&amp;L'!J4*4)</f>
        <v/>
      </c>
      <c r="G4" s="4" t="n">
        <v>232</v>
      </c>
      <c r="H4" s="4" t="n">
        <v>270</v>
      </c>
      <c r="I4" s="4" t="n">
        <v>195</v>
      </c>
      <c r="J4" s="4" t="n">
        <v>1630</v>
      </c>
      <c r="K4" s="4" t="n">
        <v>887</v>
      </c>
      <c r="L4" s="4" t="n">
        <v>743</v>
      </c>
    </row>
    <row r="5">
      <c r="A5" s="3" t="inlineStr">
        <is>
          <t>Q4 FY25</t>
        </is>
      </c>
      <c r="B5" s="3" t="inlineStr">
        <is>
          <t>2025-03-31</t>
        </is>
      </c>
      <c r="C5" s="6" t="n">
        <v>160</v>
      </c>
      <c r="D5" s="6" t="n">
        <v>465</v>
      </c>
      <c r="E5" s="6">
        <f>D5-C5</f>
        <v/>
      </c>
      <c r="F5" s="6">
        <f>E5/('P&amp;L'!J5*4)</f>
        <v/>
      </c>
      <c r="G5" s="6" t="n">
        <v>245</v>
      </c>
      <c r="H5" s="6" t="n">
        <v>282</v>
      </c>
      <c r="I5" s="6" t="n">
        <v>205</v>
      </c>
      <c r="J5" s="6" t="n">
        <v>1660</v>
      </c>
      <c r="K5" s="6" t="n">
        <v>880</v>
      </c>
      <c r="L5" s="6" t="n">
        <v>780</v>
      </c>
    </row>
    <row r="6">
      <c r="A6" s="2" t="inlineStr">
        <is>
          <t>Q1 FY26</t>
        </is>
      </c>
      <c r="B6" s="2" t="inlineStr">
        <is>
          <t>2025-06-30</t>
        </is>
      </c>
      <c r="C6" s="4" t="n">
        <v>174</v>
      </c>
      <c r="D6" s="4" t="n">
        <v>475</v>
      </c>
      <c r="E6" s="4">
        <f>D6-C6</f>
        <v/>
      </c>
      <c r="F6" s="4">
        <f>E6/('P&amp;L'!J6*4)</f>
        <v/>
      </c>
      <c r="G6" s="4" t="n">
        <v>275</v>
      </c>
      <c r="H6" s="4" t="n">
        <v>310</v>
      </c>
      <c r="I6" s="4" t="n">
        <v>212</v>
      </c>
      <c r="J6" s="4" t="n">
        <v>1720</v>
      </c>
      <c r="K6" s="4" t="n">
        <v>900</v>
      </c>
      <c r="L6" s="4" t="n">
        <v>820</v>
      </c>
    </row>
    <row r="7">
      <c r="A7" s="3" t="inlineStr">
        <is>
          <t>Q2 FY26</t>
        </is>
      </c>
      <c r="B7" s="3" t="inlineStr">
        <is>
          <t>2025-09-30</t>
        </is>
      </c>
      <c r="C7" s="6" t="n">
        <v>164</v>
      </c>
      <c r="D7" s="6" t="n">
        <v>505</v>
      </c>
      <c r="E7" s="6">
        <f>D7-C7</f>
        <v/>
      </c>
      <c r="F7" s="6">
        <f>E7/('P&amp;L'!J7*4)</f>
        <v/>
      </c>
      <c r="G7" s="6" t="n">
        <v>340</v>
      </c>
      <c r="H7" s="6" t="n">
        <v>365</v>
      </c>
      <c r="I7" s="6" t="n">
        <v>224</v>
      </c>
      <c r="J7" s="6" t="n">
        <v>1830</v>
      </c>
      <c r="K7" s="6" t="n">
        <v>970</v>
      </c>
      <c r="L7" s="6" t="n">
        <v>860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8" customWidth="1" min="5" max="5"/>
    <col width="20" customWidth="1" min="6" max="6"/>
    <col width="75" customWidth="1" min="7" max="7"/>
  </cols>
  <sheetData>
    <row r="1" ht="30" customHeight="1">
      <c r="A1" s="1" t="inlineStr">
        <is>
          <t>Quarter</t>
        </is>
      </c>
      <c r="B1" s="1" t="inlineStr">
        <is>
          <t>Segment</t>
        </is>
      </c>
      <c r="C1" s="1" t="inlineStr">
        <is>
          <t>Revenue</t>
        </is>
      </c>
      <c r="D1" s="1" t="inlineStr">
        <is>
          <t>YoY Growth</t>
        </is>
      </c>
      <c r="E1" s="1" t="inlineStr">
        <is>
          <t>EBITDA Margin</t>
        </is>
      </c>
      <c r="F1" s="1" t="inlineStr">
        <is>
          <t>EBITDA (derived)</t>
        </is>
      </c>
      <c r="G1" s="1" t="inlineStr">
        <is>
          <t>Management / interpretation note</t>
        </is>
      </c>
    </row>
    <row r="2">
      <c r="A2" s="2" t="inlineStr">
        <is>
          <t>Q1 FY25</t>
        </is>
      </c>
      <c r="B2" s="2" t="inlineStr">
        <is>
          <t>Components</t>
        </is>
      </c>
      <c r="C2" s="4" t="n">
        <v>171</v>
      </c>
      <c r="D2" s="5" t="n"/>
      <c r="E2" s="5" t="n">
        <v>0.112</v>
      </c>
      <c r="F2" s="4">
        <f>C2*E2</f>
        <v/>
      </c>
      <c r="G2" s="2" t="inlineStr">
        <is>
          <t>Synthetic historical segment estimate; use for prototype trend exploration only.</t>
        </is>
      </c>
    </row>
    <row r="3">
      <c r="A3" s="3" t="inlineStr">
        <is>
          <t>Q1 FY25</t>
        </is>
      </c>
      <c r="B3" s="3" t="inlineStr">
        <is>
          <t>Industrial Systems</t>
        </is>
      </c>
      <c r="C3" s="6" t="n">
        <v>450</v>
      </c>
      <c r="D3" s="7" t="n"/>
      <c r="E3" s="7" t="n">
        <v>0.185</v>
      </c>
      <c r="F3" s="6">
        <f>C3*E3</f>
        <v/>
      </c>
      <c r="G3" s="3" t="inlineStr">
        <is>
          <t>Synthetic historical segment estimate; use for prototype trend exploration only.</t>
        </is>
      </c>
    </row>
    <row r="4">
      <c r="A4" s="2" t="inlineStr">
        <is>
          <t>Q1 FY25</t>
        </is>
      </c>
      <c r="B4" s="2" t="inlineStr">
        <is>
          <t>Mobility Solutions</t>
        </is>
      </c>
      <c r="C4" s="4" t="n">
        <v>279</v>
      </c>
      <c r="D4" s="5" t="n"/>
      <c r="E4" s="5" t="n">
        <v>0.14</v>
      </c>
      <c r="F4" s="4">
        <f>C4*E4</f>
        <v/>
      </c>
      <c r="G4" s="2" t="inlineStr">
        <is>
          <t>Synthetic historical segment estimate; use for prototype trend exploration only.</t>
        </is>
      </c>
    </row>
    <row r="5">
      <c r="A5" s="3" t="inlineStr">
        <is>
          <t>Q2 FY25</t>
        </is>
      </c>
      <c r="B5" s="3" t="inlineStr">
        <is>
          <t>Components</t>
        </is>
      </c>
      <c r="C5" s="6" t="n">
        <v>178.6</v>
      </c>
      <c r="D5" s="7" t="n"/>
      <c r="E5" s="7" t="n">
        <v>0.112</v>
      </c>
      <c r="F5" s="6">
        <f>C5*E5</f>
        <v/>
      </c>
      <c r="G5" s="3" t="inlineStr">
        <is>
          <t>Synthetic historical segment estimate; use for prototype trend exploration only.</t>
        </is>
      </c>
    </row>
    <row r="6">
      <c r="A6" s="2" t="inlineStr">
        <is>
          <t>Q2 FY25</t>
        </is>
      </c>
      <c r="B6" s="2" t="inlineStr">
        <is>
          <t>Industrial Systems</t>
        </is>
      </c>
      <c r="C6" s="4" t="n">
        <v>470</v>
      </c>
      <c r="D6" s="5" t="n"/>
      <c r="E6" s="5" t="n">
        <v>0.185</v>
      </c>
      <c r="F6" s="4">
        <f>C6*E6</f>
        <v/>
      </c>
      <c r="G6" s="2" t="inlineStr">
        <is>
          <t>Synthetic historical segment estimate; use for prototype trend exploration only.</t>
        </is>
      </c>
    </row>
    <row r="7">
      <c r="A7" s="3" t="inlineStr">
        <is>
          <t>Q2 FY25</t>
        </is>
      </c>
      <c r="B7" s="3" t="inlineStr">
        <is>
          <t>Mobility Solutions</t>
        </is>
      </c>
      <c r="C7" s="6" t="n">
        <v>291.4</v>
      </c>
      <c r="D7" s="7" t="n"/>
      <c r="E7" s="7" t="n">
        <v>0.14</v>
      </c>
      <c r="F7" s="6">
        <f>C7*E7</f>
        <v/>
      </c>
      <c r="G7" s="3" t="inlineStr">
        <is>
          <t>Synthetic historical segment estimate; use for prototype trend exploration only.</t>
        </is>
      </c>
    </row>
    <row r="8">
      <c r="A8" s="2" t="inlineStr">
        <is>
          <t>Q3 FY25</t>
        </is>
      </c>
      <c r="B8" s="2" t="inlineStr">
        <is>
          <t>Components</t>
        </is>
      </c>
      <c r="C8" s="4" t="n">
        <v>184.3</v>
      </c>
      <c r="D8" s="5" t="n"/>
      <c r="E8" s="5" t="n">
        <v>0.108</v>
      </c>
      <c r="F8" s="4">
        <f>C8*E8</f>
        <v/>
      </c>
      <c r="G8" s="2" t="inlineStr">
        <is>
          <t>Synthetic historical segment estimate; use for prototype trend exploration only.</t>
        </is>
      </c>
    </row>
    <row r="9">
      <c r="A9" s="3" t="inlineStr">
        <is>
          <t>Q3 FY25</t>
        </is>
      </c>
      <c r="B9" s="3" t="inlineStr">
        <is>
          <t>Industrial Systems</t>
        </is>
      </c>
      <c r="C9" s="6" t="n">
        <v>485</v>
      </c>
      <c r="D9" s="7" t="n"/>
      <c r="E9" s="7" t="n">
        <v>0.181</v>
      </c>
      <c r="F9" s="6">
        <f>C9*E9</f>
        <v/>
      </c>
      <c r="G9" s="3" t="inlineStr">
        <is>
          <t>Synthetic historical segment estimate; use for prototype trend exploration only.</t>
        </is>
      </c>
    </row>
    <row r="10">
      <c r="A10" s="2" t="inlineStr">
        <is>
          <t>Q3 FY25</t>
        </is>
      </c>
      <c r="B10" s="2" t="inlineStr">
        <is>
          <t>Mobility Solutions</t>
        </is>
      </c>
      <c r="C10" s="4" t="n">
        <v>300.7</v>
      </c>
      <c r="D10" s="5" t="n"/>
      <c r="E10" s="5" t="n">
        <v>0.136</v>
      </c>
      <c r="F10" s="4">
        <f>C10*E10</f>
        <v/>
      </c>
      <c r="G10" s="2" t="inlineStr">
        <is>
          <t>Synthetic historical segment estimate; use for prototype trend exploration only.</t>
        </is>
      </c>
    </row>
    <row r="11">
      <c r="A11" s="3" t="inlineStr">
        <is>
          <t>Q4 FY25</t>
        </is>
      </c>
      <c r="B11" s="3" t="inlineStr">
        <is>
          <t>Components</t>
        </is>
      </c>
      <c r="C11" s="6" t="n">
        <v>190</v>
      </c>
      <c r="D11" s="7" t="n"/>
      <c r="E11" s="7" t="n">
        <v>0.108</v>
      </c>
      <c r="F11" s="6">
        <f>C11*E11</f>
        <v/>
      </c>
      <c r="G11" s="3" t="inlineStr">
        <is>
          <t>Synthetic historical segment estimate; use for prototype trend exploration only.</t>
        </is>
      </c>
    </row>
    <row r="12">
      <c r="A12" s="2" t="inlineStr">
        <is>
          <t>Q4 FY25</t>
        </is>
      </c>
      <c r="B12" s="2" t="inlineStr">
        <is>
          <t>Industrial Systems</t>
        </is>
      </c>
      <c r="C12" s="4" t="n">
        <v>500</v>
      </c>
      <c r="D12" s="5" t="n"/>
      <c r="E12" s="5" t="n">
        <v>0.181</v>
      </c>
      <c r="F12" s="4">
        <f>C12*E12</f>
        <v/>
      </c>
      <c r="G12" s="2" t="inlineStr">
        <is>
          <t>Synthetic historical segment estimate; use for prototype trend exploration only.</t>
        </is>
      </c>
    </row>
    <row r="13">
      <c r="A13" s="3" t="inlineStr">
        <is>
          <t>Q4 FY25</t>
        </is>
      </c>
      <c r="B13" s="3" t="inlineStr">
        <is>
          <t>Mobility Solutions</t>
        </is>
      </c>
      <c r="C13" s="6" t="n">
        <v>310</v>
      </c>
      <c r="D13" s="7" t="n"/>
      <c r="E13" s="7" t="n">
        <v>0.136</v>
      </c>
      <c r="F13" s="6">
        <f>C13*E13</f>
        <v/>
      </c>
      <c r="G13" s="3" t="inlineStr">
        <is>
          <t>Synthetic historical segment estimate; use for prototype trend exploration only.</t>
        </is>
      </c>
    </row>
    <row r="14">
      <c r="A14" s="2" t="inlineStr">
        <is>
          <t>Q1 FY26</t>
        </is>
      </c>
      <c r="B14" s="2" t="inlineStr">
        <is>
          <t>Components</t>
        </is>
      </c>
      <c r="C14" s="4" t="n">
        <v>205.2</v>
      </c>
      <c r="D14" s="5" t="n"/>
      <c r="E14" s="5" t="n">
        <v>0.108</v>
      </c>
      <c r="F14" s="4">
        <f>C14*E14</f>
        <v/>
      </c>
      <c r="G14" s="2" t="inlineStr">
        <is>
          <t>Synthetic historical segment estimate; use for prototype trend exploration only.</t>
        </is>
      </c>
    </row>
    <row r="15">
      <c r="A15" s="3" t="inlineStr">
        <is>
          <t>Q1 FY26</t>
        </is>
      </c>
      <c r="B15" s="3" t="inlineStr">
        <is>
          <t>Industrial Systems</t>
        </is>
      </c>
      <c r="C15" s="6" t="n">
        <v>540</v>
      </c>
      <c r="D15" s="7" t="n"/>
      <c r="E15" s="7" t="n">
        <v>0.181</v>
      </c>
      <c r="F15" s="6">
        <f>C15*E15</f>
        <v/>
      </c>
      <c r="G15" s="3" t="inlineStr">
        <is>
          <t>Synthetic historical segment estimate; use for prototype trend exploration only.</t>
        </is>
      </c>
    </row>
    <row r="16">
      <c r="A16" s="2" t="inlineStr">
        <is>
          <t>Q1 FY26</t>
        </is>
      </c>
      <c r="B16" s="2" t="inlineStr">
        <is>
          <t>Mobility Solutions</t>
        </is>
      </c>
      <c r="C16" s="4" t="n">
        <v>334.8</v>
      </c>
      <c r="D16" s="5" t="n"/>
      <c r="E16" s="5" t="n">
        <v>0.136</v>
      </c>
      <c r="F16" s="4">
        <f>C16*E16</f>
        <v/>
      </c>
      <c r="G16" s="2" t="inlineStr">
        <is>
          <t>Synthetic historical segment estimate; use for prototype trend exploration only.</t>
        </is>
      </c>
    </row>
    <row r="17">
      <c r="A17" s="3" t="inlineStr">
        <is>
          <t>Q2 FY26</t>
        </is>
      </c>
      <c r="B17" s="3" t="inlineStr">
        <is>
          <t>Components</t>
        </is>
      </c>
      <c r="C17" s="6" t="n">
        <v>230</v>
      </c>
      <c r="D17" s="7" t="n">
        <v>0.03</v>
      </c>
      <c r="E17" s="7" t="n">
        <v>0.094</v>
      </c>
      <c r="F17" s="6">
        <f>C17*E17</f>
        <v/>
      </c>
      <c r="G17" s="3" t="inlineStr">
        <is>
          <t>Lower growth and under-absorption of fixed costs kept margins below group average.</t>
        </is>
      </c>
    </row>
    <row r="18">
      <c r="A18" s="2" t="inlineStr">
        <is>
          <t>Q2 FY26</t>
        </is>
      </c>
      <c r="B18" s="2" t="inlineStr">
        <is>
          <t>Industrial Systems</t>
        </is>
      </c>
      <c r="C18" s="4" t="n">
        <v>620</v>
      </c>
      <c r="D18" s="5" t="n">
        <v>0.19</v>
      </c>
      <c r="E18" s="5" t="n">
        <v>0.168</v>
      </c>
      <c r="F18" s="4">
        <f>C18*E18</f>
        <v/>
      </c>
      <c r="G18" s="2" t="inlineStr">
        <is>
          <t>Strong order conversion; premium product mix supported margin.</t>
        </is>
      </c>
    </row>
    <row r="19">
      <c r="A19" s="3" t="inlineStr">
        <is>
          <t>Q2 FY26</t>
        </is>
      </c>
      <c r="B19" s="3" t="inlineStr">
        <is>
          <t>Mobility Solutions</t>
        </is>
      </c>
      <c r="C19" s="6" t="n">
        <v>390</v>
      </c>
      <c r="D19" s="7" t="n">
        <v>0.08</v>
      </c>
      <c r="E19" s="7" t="n">
        <v>0.121</v>
      </c>
      <c r="F19" s="6">
        <f>C19*E19</f>
        <v/>
      </c>
      <c r="G19" s="3" t="inlineStr">
        <is>
          <t>Growth remained positive, but launch costs and customer mix weighed on margin.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 ht="30" customHeight="1">
      <c r="A1" s="1" t="inlineStr">
        <is>
          <t>Metric</t>
        </is>
      </c>
      <c r="B1" s="1" t="inlineStr">
        <is>
          <t>Q2 FY26</t>
        </is>
      </c>
      <c r="C1" s="1" t="inlineStr">
        <is>
          <t>Comparison</t>
        </is>
      </c>
      <c r="D1" s="1" t="inlineStr">
        <is>
          <t>Change</t>
        </is>
      </c>
      <c r="E1" s="1" t="inlineStr">
        <is>
          <t>Interpretation / source</t>
        </is>
      </c>
    </row>
    <row r="2">
      <c r="A2" s="2" t="inlineStr">
        <is>
          <t>Revenue (₹ Cr)</t>
        </is>
      </c>
      <c r="B2" s="10" t="n">
        <v>1240</v>
      </c>
      <c r="C2" s="10" t="n">
        <v>1107.14</v>
      </c>
      <c r="D2" s="5">
        <f>B2/C2-1</f>
        <v/>
      </c>
      <c r="E2" s="2" t="inlineStr">
        <is>
          <t>Synthetic Q2 FY25 comparison baseline used for +12% YoY headline.</t>
        </is>
      </c>
    </row>
    <row r="3">
      <c r="A3" s="3" t="inlineStr">
        <is>
          <t>EBITDA Margin</t>
        </is>
      </c>
      <c r="B3" s="7" t="n">
        <v>0.142</v>
      </c>
      <c r="C3" s="7" t="n">
        <v>0.17</v>
      </c>
      <c r="D3" s="7">
        <f>B3-C3</f>
        <v/>
      </c>
      <c r="E3" s="3" t="inlineStr">
        <is>
          <t>Margin down 2.8 percentage points YoY; Q2 FY26 EBITDA is approximately ₹176.1 Cr.</t>
        </is>
      </c>
    </row>
    <row r="4">
      <c r="A4" s="2" t="inlineStr">
        <is>
          <t>Operating Cash Flow (₹ Cr)</t>
        </is>
      </c>
      <c r="B4" s="10" t="n">
        <v>68</v>
      </c>
      <c r="C4" s="10" t="n">
        <v>119.3</v>
      </c>
      <c r="D4" s="5">
        <f>B4/C4-1</f>
        <v/>
      </c>
      <c r="E4" s="2" t="inlineStr">
        <is>
          <t>OCF down 43% YoY; working-capital absorption is a key hypothesis to investigate.</t>
        </is>
      </c>
    </row>
    <row r="5">
      <c r="A5" s="3" t="inlineStr">
        <is>
          <t>Net Debt / Annualised EBITDA</t>
        </is>
      </c>
      <c r="B5" s="11" t="n">
        <v>2.1</v>
      </c>
      <c r="C5" s="11" t="n">
        <v>1.5</v>
      </c>
      <c r="D5" s="11">
        <f>B5-C5</f>
        <v/>
      </c>
      <c r="E5" s="3" t="inlineStr">
        <is>
          <t>Latest ratio set to 2.1x headline; compare ratio is synthetic.</t>
        </is>
      </c>
    </row>
    <row r="6">
      <c r="A6" s="2" t="inlineStr">
        <is>
          <t>Industrial Systems Revenue (₹ Cr)</t>
        </is>
      </c>
      <c r="B6" s="10" t="n">
        <v>620</v>
      </c>
      <c r="C6" s="10" t="n">
        <v>521.01</v>
      </c>
      <c r="D6" s="5">
        <f>B6/C6-1</f>
        <v/>
      </c>
      <c r="E6" s="2" t="inlineStr">
        <is>
          <t>Latest segment; margin 16.8%.</t>
        </is>
      </c>
    </row>
    <row r="7">
      <c r="A7" s="3" t="inlineStr">
        <is>
          <t>Mobility Solutions Revenue (₹ Cr)</t>
        </is>
      </c>
      <c r="B7" s="12" t="n">
        <v>390</v>
      </c>
      <c r="C7" s="12" t="n">
        <v>361.11</v>
      </c>
      <c r="D7" s="7">
        <f>B7/C7-1</f>
        <v/>
      </c>
      <c r="E7" s="3" t="inlineStr">
        <is>
          <t>Latest segment; margin 12.1%.</t>
        </is>
      </c>
    </row>
    <row r="8">
      <c r="A8" s="2" t="inlineStr">
        <is>
          <t>Components Revenue (₹ Cr)</t>
        </is>
      </c>
      <c r="B8" s="10" t="n">
        <v>230</v>
      </c>
      <c r="C8" s="10" t="n">
        <v>225.02</v>
      </c>
      <c r="D8" s="5">
        <f>B8/C8-1</f>
        <v/>
      </c>
      <c r="E8" s="2" t="inlineStr">
        <is>
          <t>Latest segment; margin 9.4%.</t>
        </is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2" customWidth="1" min="4" max="4"/>
    <col width="75" customWidth="1" min="5" max="5"/>
    <col width="34" customWidth="1" min="6" max="6"/>
    <col width="18" customWidth="1" min="7" max="7"/>
    <col width="48" customWidth="1" min="8" max="8"/>
    <col width="65" customWidth="1" min="9" max="9"/>
    <col width="18" customWidth="1" min="10" max="10"/>
  </cols>
  <sheetData>
    <row r="1" ht="30" customHeight="1">
      <c r="A1" s="1" t="inlineStr">
        <is>
          <t>Guidance ID</t>
        </is>
      </c>
      <c r="B1" s="1" t="inlineStr">
        <is>
          <t>Date Issued</t>
        </is>
      </c>
      <c r="C1" s="1" t="inlineStr">
        <is>
          <t>Quarter Issued</t>
        </is>
      </c>
      <c r="D1" s="1" t="inlineStr">
        <is>
          <t>Topic</t>
        </is>
      </c>
      <c r="E1" s="1" t="inlineStr">
        <is>
          <t>Exact fictional management wording</t>
        </is>
      </c>
      <c r="F1" s="1" t="inlineStr">
        <is>
          <t>Target / expectation</t>
        </is>
      </c>
      <c r="G1" s="1" t="inlineStr">
        <is>
          <t>Due By</t>
        </is>
      </c>
      <c r="H1" s="1" t="inlineStr">
        <is>
          <t>Latest Actual / Status</t>
        </is>
      </c>
      <c r="I1" s="1" t="inlineStr">
        <is>
          <t>Assessment</t>
        </is>
      </c>
      <c r="J1" s="1" t="inlineStr">
        <is>
          <t>Evidence Document ID</t>
        </is>
      </c>
    </row>
    <row r="2">
      <c r="A2" s="2" t="inlineStr">
        <is>
          <t>G-001</t>
        </is>
      </c>
      <c r="B2" s="2" t="inlineStr">
        <is>
          <t>2025-03-31</t>
        </is>
      </c>
      <c r="C2" s="2" t="inlineStr">
        <is>
          <t>Q4 FY25</t>
        </is>
      </c>
      <c r="D2" s="2" t="inlineStr">
        <is>
          <t>Input costs / margins</t>
        </is>
      </c>
      <c r="E2" s="2" t="inlineStr">
        <is>
          <t>“We expect the current input-cost pressure to ease progressively during the first half of FY26, with margin recovery visible by Q2 FY26, assuming supplier prices normalise.”</t>
        </is>
      </c>
      <c r="F2" s="2" t="inlineStr">
        <is>
          <t>Margin recovery visible by Q2 FY26</t>
        </is>
      </c>
      <c r="G2" s="2" t="inlineStr">
        <is>
          <t>Q2 FY26</t>
        </is>
      </c>
      <c r="H2" s="2" t="inlineStr">
        <is>
          <t>Q2 FY26 EBITDA margin 14.2% vs 17.0% comparison baseline</t>
        </is>
      </c>
      <c r="I2" s="2" t="inlineStr">
        <is>
          <t>Potential guidance gap: actual margin remains below prior-year level; requires quantified bridge and confirmation of what assumptions changed.</t>
        </is>
      </c>
      <c r="J2" s="2" t="inlineStr">
        <is>
          <t>TR-Q4FY25</t>
        </is>
      </c>
    </row>
    <row r="3">
      <c r="A3" s="3" t="inlineStr">
        <is>
          <t>G-002</t>
        </is>
      </c>
      <c r="B3" s="3" t="inlineStr">
        <is>
          <t>2025-06-30</t>
        </is>
      </c>
      <c r="C3" s="3" t="inlineStr">
        <is>
          <t>Q1 FY26</t>
        </is>
      </c>
      <c r="D3" s="3" t="inlineStr">
        <is>
          <t>Working capital</t>
        </is>
      </c>
      <c r="E3" s="3" t="inlineStr">
        <is>
          <t>“Receivables are temporarily elevated due to shipment timing. We expect collections to normalise over the next quarter.”</t>
        </is>
      </c>
      <c r="F3" s="3" t="inlineStr">
        <is>
          <t>Receivables normalise by Q2 FY26</t>
        </is>
      </c>
      <c r="G3" s="3" t="inlineStr">
        <is>
          <t>Q2 FY26</t>
        </is>
      </c>
      <c r="H3" s="3" t="inlineStr">
        <is>
          <t>Receivables increased to ₹340 Cr in Q2 FY26; OCF ₹68 Cr</t>
        </is>
      </c>
      <c r="I3" s="3" t="inlineStr">
        <is>
          <t>Potential gap: latest receivables are elevated; ask for ageing and collections evidence.</t>
        </is>
      </c>
      <c r="J3" s="3" t="inlineStr">
        <is>
          <t>TR-Q1FY26</t>
        </is>
      </c>
    </row>
    <row r="4">
      <c r="A4" s="2" t="inlineStr">
        <is>
          <t>G-003</t>
        </is>
      </c>
      <c r="B4" s="2" t="inlineStr">
        <is>
          <t>2025-06-30</t>
        </is>
      </c>
      <c r="C4" s="2" t="inlineStr">
        <is>
          <t>Q1 FY26</t>
        </is>
      </c>
      <c r="D4" s="2" t="inlineStr">
        <is>
          <t>CapEx</t>
        </is>
      </c>
      <c r="E4" s="2" t="inlineStr">
        <is>
          <t>“We anticipate elevated capital expenditure in the first half, followed by a more measured run-rate in the second half.”</t>
        </is>
      </c>
      <c r="F4" s="2" t="inlineStr">
        <is>
          <t>CapEx moderates after H1</t>
        </is>
      </c>
      <c r="G4" s="2" t="inlineStr">
        <is>
          <t>H2 FY26</t>
        </is>
      </c>
      <c r="H4" s="2" t="inlineStr">
        <is>
          <t>Q2 FY26 CapEx ₹90 Cr</t>
        </is>
      </c>
      <c r="I4" s="2" t="inlineStr">
        <is>
          <t>Not yet testable against full H2; ask for updated CapEx phasing, do not assert that it has moderated.</t>
        </is>
      </c>
      <c r="J4" s="2" t="inlineStr">
        <is>
          <t>TR-Q1FY26</t>
        </is>
      </c>
    </row>
    <row r="5">
      <c r="A5" s="3" t="inlineStr">
        <is>
          <t>G-004</t>
        </is>
      </c>
      <c r="B5" s="3" t="inlineStr">
        <is>
          <t>2025-03-31</t>
        </is>
      </c>
      <c r="C5" s="3" t="inlineStr">
        <is>
          <t>Q4 FY25</t>
        </is>
      </c>
      <c r="D5" s="3" t="inlineStr">
        <is>
          <t>Revenue</t>
        </is>
      </c>
      <c r="E5" s="3" t="inlineStr">
        <is>
          <t>“For FY26, we are targeting low-double-digit revenue growth, subject to customer demand and the timing of new-program ramps.”</t>
        </is>
      </c>
      <c r="F5" s="3" t="inlineStr">
        <is>
          <t>Low-double-digit revenue growth</t>
        </is>
      </c>
      <c r="G5" s="3" t="inlineStr">
        <is>
          <t>FY26</t>
        </is>
      </c>
      <c r="H5" s="3" t="inlineStr">
        <is>
          <t>Q2 FY26 revenue ₹1,240 Cr; synthetic YoY headline +12%</t>
        </is>
      </c>
      <c r="I5" s="3" t="inlineStr">
        <is>
          <t>Directionally consistent for the quarter; full-year outcome not yet established.</t>
        </is>
      </c>
      <c r="J5" s="3" t="inlineStr">
        <is>
          <t>TR-Q4FY25</t>
        </is>
      </c>
    </row>
    <row r="6">
      <c r="A6" s="2" t="inlineStr">
        <is>
          <t>G-005</t>
        </is>
      </c>
      <c r="B6" s="2" t="inlineStr">
        <is>
          <t>2025-09-30</t>
        </is>
      </c>
      <c r="C6" s="2" t="inlineStr">
        <is>
          <t>Q2 FY26</t>
        </is>
      </c>
      <c r="D6" s="2" t="inlineStr">
        <is>
          <t>Margin drivers</t>
        </is>
      </c>
      <c r="E6" s="2" t="inlineStr">
        <is>
          <t>“The margin shortfall reflects a mix of input costs, launch expenses and lower fixed-cost absorption in Components; we are quantifying the contribution of each factor.”</t>
        </is>
      </c>
      <c r="F6" s="2" t="inlineStr">
        <is>
          <t>Publish quantified bridge when validated</t>
        </is>
      </c>
      <c r="G6" s="2" t="inlineStr">
        <is>
          <t>Next update</t>
        </is>
      </c>
      <c r="H6" s="2" t="inlineStr">
        <is>
          <t>No quantified bridge provided in this synthetic pack</t>
        </is>
      </c>
      <c r="I6" s="2" t="inlineStr">
        <is>
          <t>Evidence gap: don't invent contribution percentages; request validated price-volume-mix and cost bridge.</t>
        </is>
      </c>
      <c r="J6" s="2" t="inlineStr">
        <is>
          <t>TR-Q2FY26</t>
        </is>
      </c>
    </row>
  </sheetData>
  <autoFilter ref="A1: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70" customWidth="1" min="4" max="4"/>
    <col width="40" customWidth="1" min="5" max="5"/>
    <col width="65" customWidth="1" min="6" max="6"/>
    <col width="75" customWidth="1" min="7" max="7"/>
    <col width="55" customWidth="1" min="8" max="8"/>
  </cols>
  <sheetData>
    <row r="1" ht="30" customHeight="1">
      <c r="A1" s="1" t="inlineStr">
        <is>
          <t>Question ID</t>
        </is>
      </c>
      <c r="B1" s="1" t="inlineStr">
        <is>
          <t>Risk Score (1-5)</t>
        </is>
      </c>
      <c r="C1" s="1" t="inlineStr">
        <is>
          <t>Priority</t>
        </is>
      </c>
      <c r="D1" s="1" t="inlineStr">
        <is>
          <t>Investor question</t>
        </is>
      </c>
      <c r="E1" s="1" t="inlineStr">
        <is>
          <t>Trigger / metric</t>
        </is>
      </c>
      <c r="F1" s="1" t="inlineStr">
        <is>
          <t>Evidence required</t>
        </is>
      </c>
      <c r="G1" s="1" t="inlineStr">
        <is>
          <t>Safe answer scaffold</t>
        </is>
      </c>
      <c r="H1" s="1" t="inlineStr">
        <is>
          <t>Escalation / evidence gap</t>
        </is>
      </c>
    </row>
    <row r="2">
      <c r="A2" s="2" t="inlineStr">
        <is>
          <t>Q-001</t>
        </is>
      </c>
      <c r="B2" s="2" t="n">
        <v>5</v>
      </c>
      <c r="C2" s="2" t="inlineStr">
        <is>
          <t>Critical</t>
        </is>
      </c>
      <c r="D2" s="2" t="inlineStr">
        <is>
          <t>Revenue grew 12%, so why did EBITDA margin fall 280 bps versus the prior-year comparison?</t>
        </is>
      </c>
      <c r="E2" s="2" t="inlineStr">
        <is>
          <t>Revenue +12%; EBITDA margin 14.2% vs 17.0%</t>
        </is>
      </c>
      <c r="F2" s="2" t="inlineStr">
        <is>
          <t>Price-volume-mix bridge; raw-material inflation; launch expenses; segment mix; fixed-cost absorption; exact prior guidance</t>
        </is>
      </c>
      <c r="G2" s="2" t="inlineStr">
        <is>
          <t>Acknowledge the 280 bps decline; describe only verified drivers; quantify each driver only after Finance validates the bridge; distinguish temporary from structural.</t>
        </is>
      </c>
      <c r="H2" s="2" t="inlineStr">
        <is>
          <t>No quantified driver bridge in source pack; escalate to CFO/FP&amp;A.</t>
        </is>
      </c>
    </row>
    <row r="3">
      <c r="A3" s="3" t="inlineStr">
        <is>
          <t>Q-002</t>
        </is>
      </c>
      <c r="B3" s="3" t="n">
        <v>5</v>
      </c>
      <c r="C3" s="3" t="inlineStr">
        <is>
          <t>Critical</t>
        </is>
      </c>
      <c r="D3" s="3" t="inlineStr">
        <is>
          <t>Why did operating cash flow fall 43% while revenue increased?</t>
        </is>
      </c>
      <c r="E3" s="3" t="inlineStr">
        <is>
          <t>OCF ₹68 Cr; down 43% YoY</t>
        </is>
      </c>
      <c r="F3" s="3" t="inlineStr">
        <is>
          <t>Receivables ageing, inventory days, payables, customer collections, PAT-to-OCF reconciliation</t>
        </is>
      </c>
      <c r="G3" s="3" t="inlineStr">
        <is>
          <t>State reported OCF and identify verified working-capital movements; do not attribute the full decline to one driver without a reconciliation.</t>
        </is>
      </c>
      <c r="H3" s="3" t="inlineStr">
        <is>
          <t>Need validated working-capital bridge and cash conversion cycle.</t>
        </is>
      </c>
    </row>
    <row r="4">
      <c r="A4" s="2" t="inlineStr">
        <is>
          <t>Q-003</t>
        </is>
      </c>
      <c r="B4" s="2" t="n">
        <v>5</v>
      </c>
      <c r="C4" s="2" t="inlineStr">
        <is>
          <t>Critical</t>
        </is>
      </c>
      <c r="D4" s="2" t="inlineStr">
        <is>
          <t>You previously expected margin recovery by Q2 FY26. What changed?</t>
        </is>
      </c>
      <c r="E4" s="2" t="inlineStr">
        <is>
          <t>Prior guidance G-001 vs actual margin</t>
        </is>
      </c>
      <c r="F4" s="2" t="inlineStr">
        <is>
          <t>Q4 FY25 transcript exact quote; Q1/Q2 commentary; updated cost assumptions; current margin bridge</t>
        </is>
      </c>
      <c r="G4" s="2" t="inlineStr">
        <is>
          <t>Acknowledge prior wording and compare with actual outcome; explain changes only where documented; state what is still being validated.</t>
        </is>
      </c>
      <c r="H4" s="2" t="inlineStr">
        <is>
          <t>Prior statement exists; quantified variance explanation is incomplete.</t>
        </is>
      </c>
    </row>
    <row r="5">
      <c r="A5" s="3" t="inlineStr">
        <is>
          <t>Q-004</t>
        </is>
      </c>
      <c r="B5" s="3" t="n">
        <v>4</v>
      </c>
      <c r="C5" s="3" t="inlineStr">
        <is>
          <t>High</t>
        </is>
      </c>
      <c r="D5" s="3" t="inlineStr">
        <is>
          <t>Receivables were described as temporary. Why are they now ₹340 Cr?</t>
        </is>
      </c>
      <c r="E5" s="3" t="inlineStr">
        <is>
          <t>Receivables ₹340 Cr; OCF pressure</t>
        </is>
      </c>
      <c r="F5" s="3" t="inlineStr">
        <is>
          <t>Ageing buckets, top-customer balances, post-quarter collections, overdue %</t>
        </is>
      </c>
      <c r="G5" s="3" t="inlineStr">
        <is>
          <t>Give the balance and collection status only if verified; commit to a dated follow-up only if approved.</t>
        </is>
      </c>
      <c r="H5" s="3" t="inlineStr">
        <is>
          <t>No ageing schedule/post-quarter collection data.</t>
        </is>
      </c>
    </row>
    <row r="6">
      <c r="A6" s="2" t="inlineStr">
        <is>
          <t>Q-005</t>
        </is>
      </c>
      <c r="B6" s="2" t="n">
        <v>4</v>
      </c>
      <c r="C6" s="2" t="inlineStr">
        <is>
          <t>High</t>
        </is>
      </c>
      <c r="D6" s="2" t="inlineStr">
        <is>
          <t>Which segment is causing the most pressure on group profitability?</t>
        </is>
      </c>
      <c r="E6" s="2" t="inlineStr">
        <is>
          <t>Segment margins: 16.8%, 12.1%, 9.4%</t>
        </is>
      </c>
      <c r="F6" s="2" t="inlineStr">
        <is>
          <t>Segment EBITDA contributions and changes in mix, not margin alone</t>
        </is>
      </c>
      <c r="G6" s="2" t="inlineStr">
        <is>
          <t>Explain segment-level margin dispersion and contribution using disclosed values; do not equate lowest margin with largest absolute drag without calculation.</t>
        </is>
      </c>
      <c r="H6" s="2" t="inlineStr">
        <is>
          <t>Need historical segment profit bridge for precise attribution.</t>
        </is>
      </c>
    </row>
    <row r="7">
      <c r="A7" s="3" t="inlineStr">
        <is>
          <t>Q-006</t>
        </is>
      </c>
      <c r="B7" s="3" t="n">
        <v>4</v>
      </c>
      <c r="C7" s="3" t="inlineStr">
        <is>
          <t>High</t>
        </is>
      </c>
      <c r="D7" s="3" t="inlineStr">
        <is>
          <t>Will CapEx and leverage rise further?</t>
        </is>
      </c>
      <c r="E7" s="3" t="inlineStr">
        <is>
          <t>CapEx ₹90 Cr; net debt/EBITDA 2.1x</t>
        </is>
      </c>
      <c r="F7" s="3" t="inlineStr">
        <is>
          <t>Approved CapEx plan, debt maturities, liquidity, covenant headroom, guidance approval</t>
        </is>
      </c>
      <c r="G7" s="3" t="inlineStr">
        <is>
          <t>Use approved public guidance only; separate current fact from forward-looking statement and conditions.</t>
        </is>
      </c>
      <c r="H7" s="3" t="inlineStr">
        <is>
          <t>No approved updated leverage/CapEx outlook in pack.</t>
        </is>
      </c>
    </row>
    <row r="8">
      <c r="A8" s="2" t="inlineStr">
        <is>
          <t>Q-007</t>
        </is>
      </c>
      <c r="B8" s="2" t="n">
        <v>3</v>
      </c>
      <c r="C8" s="2" t="inlineStr">
        <is>
          <t>Medium</t>
        </is>
      </c>
      <c r="D8" s="2" t="inlineStr">
        <is>
          <t>Is the revenue growth broad-based or concentrated in one segment?</t>
        </is>
      </c>
      <c r="E8" s="2" t="inlineStr">
        <is>
          <t>Segment revenue growth 19%, 8%, 3%</t>
        </is>
      </c>
      <c r="F8" s="2" t="inlineStr">
        <is>
          <t>Segment growth history; orders/backlog; customer concentration</t>
        </is>
      </c>
      <c r="G8" s="2" t="inlineStr">
        <is>
          <t>Describe the three segment growth rates and state limits of available order/backlog evidence.</t>
        </is>
      </c>
      <c r="H8" s="2" t="inlineStr">
        <is>
          <t>Need order book and customer concentration data.</t>
        </is>
      </c>
    </row>
  </sheetData>
  <autoFilter ref="A1:H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6" customWidth="1" min="3" max="3"/>
    <col width="38" customWidth="1" min="4" max="4"/>
    <col width="50" customWidth="1" min="5" max="5"/>
  </cols>
  <sheetData>
    <row r="1" ht="30" customHeight="1">
      <c r="A1" s="1" t="inlineStr">
        <is>
          <t>Field / metric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Source / calculation</t>
        </is>
      </c>
      <c r="E1" s="1" t="inlineStr">
        <is>
          <t>Caveat</t>
        </is>
      </c>
    </row>
    <row r="2">
      <c r="A2" s="2" t="inlineStr">
        <is>
          <t>Revenue</t>
        </is>
      </c>
      <c r="B2" s="2" t="inlineStr">
        <is>
          <t>Quarterly revenue</t>
        </is>
      </c>
      <c r="C2" s="2" t="inlineStr">
        <is>
          <t>₹ Cr</t>
        </is>
      </c>
      <c r="D2" s="2" t="inlineStr">
        <is>
          <t>Synthetic P&amp;L</t>
        </is>
      </c>
      <c r="E2" s="2" t="inlineStr">
        <is>
          <t>Fictional</t>
        </is>
      </c>
    </row>
    <row r="3">
      <c r="A3" s="3" t="inlineStr">
        <is>
          <t>COGS</t>
        </is>
      </c>
      <c r="B3" s="3" t="inlineStr">
        <is>
          <t>Cost of goods sold</t>
        </is>
      </c>
      <c r="C3" s="3" t="inlineStr">
        <is>
          <t>₹ Cr</t>
        </is>
      </c>
      <c r="D3" s="3" t="inlineStr">
        <is>
          <t>Synthetic P&amp;L</t>
        </is>
      </c>
      <c r="E3" s="3" t="inlineStr">
        <is>
          <t>Simplified</t>
        </is>
      </c>
    </row>
    <row r="4">
      <c r="A4" s="2" t="inlineStr">
        <is>
          <t>Gross Profit</t>
        </is>
      </c>
      <c r="B4" s="2" t="inlineStr">
        <is>
          <t>Revenue minus COGS</t>
        </is>
      </c>
      <c r="C4" s="2" t="inlineStr">
        <is>
          <t>₹ Cr</t>
        </is>
      </c>
      <c r="D4" s="2" t="inlineStr">
        <is>
          <t>Formula</t>
        </is>
      </c>
      <c r="E4" s="2" t="inlineStr"/>
    </row>
    <row r="5">
      <c r="A5" s="3" t="inlineStr">
        <is>
          <t>EBITDA</t>
        </is>
      </c>
      <c r="B5" s="3" t="inlineStr">
        <is>
          <t>Gross profit less SG&amp;A, R&amp;D and other operating expenses</t>
        </is>
      </c>
      <c r="C5" s="3" t="inlineStr">
        <is>
          <t>₹ Cr</t>
        </is>
      </c>
      <c r="D5" s="3" t="inlineStr">
        <is>
          <t>Formula</t>
        </is>
      </c>
      <c r="E5" s="3" t="inlineStr">
        <is>
          <t>D&amp;A excluded</t>
        </is>
      </c>
    </row>
    <row r="6">
      <c r="A6" s="2" t="inlineStr">
        <is>
          <t>EBITDA Margin</t>
        </is>
      </c>
      <c r="B6" s="2" t="inlineStr">
        <is>
          <t>EBITDA / Revenue</t>
        </is>
      </c>
      <c r="C6" s="2" t="inlineStr">
        <is>
          <t>%</t>
        </is>
      </c>
      <c r="D6" s="2" t="inlineStr">
        <is>
          <t>Formula</t>
        </is>
      </c>
      <c r="E6" s="2" t="inlineStr">
        <is>
          <t>Latest set to 14.2%; compare baseline set to 17.0%</t>
        </is>
      </c>
    </row>
    <row r="7">
      <c r="A7" s="3" t="inlineStr">
        <is>
          <t>Operating Cash Flow</t>
        </is>
      </c>
      <c r="B7" s="3" t="inlineStr">
        <is>
          <t>Net cash from operating activities</t>
        </is>
      </c>
      <c r="C7" s="3" t="inlineStr">
        <is>
          <t>₹ Cr</t>
        </is>
      </c>
      <c r="D7" s="3" t="inlineStr">
        <is>
          <t>Synthetic cash flow</t>
        </is>
      </c>
      <c r="E7" s="3" t="inlineStr">
        <is>
          <t>Q2 FY26 ₹68 Cr headline; down 43% vs synthetic baseline</t>
        </is>
      </c>
    </row>
    <row r="8">
      <c r="A8" s="2" t="inlineStr">
        <is>
          <t>Free Cash Flow</t>
        </is>
      </c>
      <c r="B8" s="2" t="inlineStr">
        <is>
          <t>Operating cash flow minus CapEx</t>
        </is>
      </c>
      <c r="C8" s="2" t="inlineStr">
        <is>
          <t>₹ Cr</t>
        </is>
      </c>
      <c r="D8" s="2" t="inlineStr">
        <is>
          <t>Formula</t>
        </is>
      </c>
      <c r="E8" s="2" t="inlineStr">
        <is>
          <t>Simplified; excludes asset disposals</t>
        </is>
      </c>
    </row>
    <row r="9">
      <c r="A9" s="3" t="inlineStr">
        <is>
          <t>Net Debt</t>
        </is>
      </c>
      <c r="B9" s="3" t="inlineStr">
        <is>
          <t>Gross debt minus cash</t>
        </is>
      </c>
      <c r="C9" s="3" t="inlineStr">
        <is>
          <t>₹ Cr</t>
        </is>
      </c>
      <c r="D9" s="3" t="inlineStr">
        <is>
          <t>Formula</t>
        </is>
      </c>
      <c r="E9" s="3" t="inlineStr"/>
    </row>
    <row r="10">
      <c r="A10" s="2" t="inlineStr">
        <is>
          <t>Net Debt / Annualised EBITDA</t>
        </is>
      </c>
      <c r="B10" s="2" t="inlineStr">
        <is>
          <t>Net debt / (quarter EBITDA × 4)</t>
        </is>
      </c>
      <c r="C10" s="2" t="inlineStr">
        <is>
          <t>x</t>
        </is>
      </c>
      <c r="D10" s="2" t="inlineStr">
        <is>
          <t>Formula</t>
        </is>
      </c>
      <c r="E10" s="2" t="inlineStr">
        <is>
          <t>Headline comparison ratio may use a separate illustrative baseline</t>
        </is>
      </c>
    </row>
    <row r="11">
      <c r="A11" s="3" t="inlineStr">
        <is>
          <t>Receivables Days</t>
        </is>
      </c>
      <c r="B11" s="3" t="inlineStr">
        <is>
          <t>Receivables / quarterly revenue × 90</t>
        </is>
      </c>
      <c r="C11" s="3" t="inlineStr">
        <is>
          <t>days</t>
        </is>
      </c>
      <c r="D11" s="3" t="inlineStr">
        <is>
          <t>Approximation</t>
        </is>
      </c>
      <c r="E11" s="3" t="inlineStr">
        <is>
          <t>Uses 90-day quarter</t>
        </is>
      </c>
    </row>
    <row r="12">
      <c r="A12" s="2" t="inlineStr">
        <is>
          <t>Inventory Days</t>
        </is>
      </c>
      <c r="B12" s="2" t="inlineStr">
        <is>
          <t>Inventory / quarterly COGS × 90</t>
        </is>
      </c>
      <c r="C12" s="2" t="inlineStr">
        <is>
          <t>days</t>
        </is>
      </c>
      <c r="D12" s="2" t="inlineStr">
        <is>
          <t>Approximation</t>
        </is>
      </c>
      <c r="E12" s="2" t="inlineStr">
        <is>
          <t>Uses 90-day quarter</t>
        </is>
      </c>
    </row>
    <row r="13">
      <c r="A13" s="3" t="inlineStr">
        <is>
          <t>Guidance Gap</t>
        </is>
      </c>
      <c r="B13" s="3" t="inlineStr">
        <is>
          <t>Prior explicit statement compared with current disclosed result</t>
        </is>
      </c>
      <c r="C13" s="3" t="inlineStr">
        <is>
          <t>text</t>
        </is>
      </c>
      <c r="D13" s="3" t="inlineStr">
        <is>
          <t>Guidance Register + transcripts</t>
        </is>
      </c>
      <c r="E13" s="3" t="inlineStr">
        <is>
          <t>Do not infer intent or claim breach without context</t>
        </is>
      </c>
    </row>
    <row r="14">
      <c r="A14" s="2" t="inlineStr">
        <is>
          <t>Evidence status</t>
        </is>
      </c>
      <c r="B14" s="2" t="inlineStr">
        <is>
          <t>Supported / partial / missing</t>
        </is>
      </c>
      <c r="C14" s="2" t="inlineStr">
        <is>
          <t>label</t>
        </is>
      </c>
      <c r="D14" s="2" t="inlineStr">
        <is>
          <t>RAG review</t>
        </is>
      </c>
      <c r="E14" s="2" t="inlineStr">
        <is>
          <t>Mark missing data explicitly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5" customWidth="1" min="3" max="3"/>
    <col width="70" customWidth="1" min="4" max="4"/>
  </cols>
  <sheetData>
    <row r="1" ht="30" customHeight="1">
      <c r="A1" s="1" t="inlineStr">
        <is>
          <t>Assumption ID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Why / caveat</t>
        </is>
      </c>
    </row>
    <row r="2">
      <c r="A2" s="2" t="inlineStr">
        <is>
          <t>A-001</t>
        </is>
      </c>
      <c r="B2" s="2" t="inlineStr">
        <is>
          <t>Company</t>
        </is>
      </c>
      <c r="C2" s="2" t="inlineStr">
        <is>
          <t>Northstar Components Ltd.</t>
        </is>
      </c>
      <c r="D2" s="2" t="inlineStr">
        <is>
          <t>Fictional name; no real-company data.</t>
        </is>
      </c>
    </row>
    <row r="3">
      <c r="A3" s="3" t="inlineStr">
        <is>
          <t>A-002</t>
        </is>
      </c>
      <c r="B3" s="3" t="inlineStr">
        <is>
          <t>Latest quarter</t>
        </is>
      </c>
      <c r="C3" s="3" t="inlineStr">
        <is>
          <t>Q2 FY26</t>
        </is>
      </c>
      <c r="D3" s="3" t="inlineStr">
        <is>
          <t>Synthetic period ending 2025-09-30.</t>
        </is>
      </c>
    </row>
    <row r="4">
      <c r="A4" s="2" t="inlineStr">
        <is>
          <t>A-003</t>
        </is>
      </c>
      <c r="B4" s="2" t="inlineStr">
        <is>
          <t>Revenue YoY comparison baseline</t>
        </is>
      </c>
      <c r="C4" s="2" t="n">
        <v>1107.14</v>
      </c>
      <c r="D4" s="2" t="inlineStr">
        <is>
          <t>Chosen so ₹1,240 Cr implies approximately +12% YoY.</t>
        </is>
      </c>
    </row>
    <row r="5">
      <c r="A5" s="3" t="inlineStr">
        <is>
          <t>A-004</t>
        </is>
      </c>
      <c r="B5" s="3" t="inlineStr">
        <is>
          <t>EBITDA margin comparison baseline</t>
        </is>
      </c>
      <c r="C5" s="3" t="n">
        <v>0.17</v>
      </c>
      <c r="D5" s="3" t="inlineStr">
        <is>
          <t>Chosen to demonstrate a 280 bps decline to 14.2%.</t>
        </is>
      </c>
    </row>
    <row r="6">
      <c r="A6" s="2" t="inlineStr">
        <is>
          <t>A-005</t>
        </is>
      </c>
      <c r="B6" s="2" t="inlineStr">
        <is>
          <t>OCF comparison baseline</t>
        </is>
      </c>
      <c r="C6" s="2" t="n">
        <v>119.3</v>
      </c>
      <c r="D6" s="2" t="inlineStr">
        <is>
          <t>Chosen so ₹68 Cr is approximately 43% lower.</t>
        </is>
      </c>
    </row>
    <row r="7">
      <c r="A7" s="3" t="inlineStr">
        <is>
          <t>A-006</t>
        </is>
      </c>
      <c r="B7" s="3" t="inlineStr">
        <is>
          <t>Net debt / EBITDA headline</t>
        </is>
      </c>
      <c r="C7" s="3" t="n">
        <v>2.1</v>
      </c>
      <c r="D7" s="3" t="inlineStr">
        <is>
          <t>Headline demo KPI; the simplified historical debt math may differ slightly; use the headline KPI sheet for the assignment scenario.</t>
        </is>
      </c>
    </row>
    <row r="8">
      <c r="A8" s="2" t="inlineStr">
        <is>
          <t>A-007</t>
        </is>
      </c>
      <c r="B8" s="2" t="inlineStr">
        <is>
          <t>Unit</t>
        </is>
      </c>
      <c r="C8" s="2" t="inlineStr">
        <is>
          <t>₹ crore</t>
        </is>
      </c>
      <c r="D8" s="2" t="inlineStr">
        <is>
          <t>Except ratios, percentages and days.</t>
        </is>
      </c>
    </row>
    <row r="9">
      <c r="A9" s="3" t="inlineStr">
        <is>
          <t>A-008</t>
        </is>
      </c>
      <c r="B9" s="3" t="inlineStr">
        <is>
          <t>Synthetic data notice</t>
        </is>
      </c>
      <c r="C9" s="3" t="inlineStr">
        <is>
          <t>All numbers and quotes are fictional</t>
        </is>
      </c>
      <c r="D9" s="3" t="inlineStr">
        <is>
          <t>Never use as real investment advice or company disclosure.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2026-10-28T11:09:44Z</dcterms:created>
  <dcterms:modified xmlns:dcterms="http://purl.org/dc/terms/" xmlns:xsi="http://www.w3.org/2001/XMLSchema-instance" xsi:type="dcterms:W3CDTF">2026-10-28T11:09:44Z</dcterms:modified>
</cp:coreProperties>
</file>